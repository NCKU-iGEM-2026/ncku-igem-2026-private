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頁面進度" sheetId="2" state="visible" r:id="rId2"/>
    <sheet name="成員" sheetId="3" state="visible" r:id="rId3"/>
  </sheets>
  <definedNames>
    <definedName name="Members">'成員'!$A$5:$A$24</definedName>
    <definedName name="_xlnm._FilterDatabase" localSheetId="1" hidden="1">'頁面進度'!$A$4:$I$31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075A3E"/>
      <sz val="16"/>
    </font>
    <font>
      <color rgb="005F6E66"/>
      <sz val="10"/>
    </font>
    <font>
      <b val="1"/>
      <color rgb="00FFFFFF"/>
      <sz val="11"/>
    </font>
    <font>
      <b val="1"/>
    </font>
    <font/>
    <font>
      <b val="1"/>
      <color rgb="00075A3E"/>
      <sz val="12"/>
    </font>
    <font>
      <b val="1"/>
      <color rgb="00075A3E"/>
    </font>
  </fonts>
  <fills count="5">
    <fill>
      <patternFill/>
    </fill>
    <fill>
      <patternFill patternType="gray125"/>
    </fill>
    <fill>
      <patternFill patternType="solid">
        <fgColor rgb="00075A3E"/>
      </patternFill>
    </fill>
    <fill>
      <patternFill patternType="solid">
        <fgColor rgb="00FFFDF7"/>
      </patternFill>
    </fill>
    <fill>
      <patternFill patternType="solid">
        <fgColor rgb="00E7F4EE"/>
      </patternFill>
    </fill>
  </fills>
  <borders count="2">
    <border>
      <left/>
      <right/>
      <top/>
      <bottom/>
      <diagonal/>
    </border>
    <border>
      <left style="thin">
        <color rgb="00D5DED8"/>
      </left>
      <right style="thin">
        <color rgb="00D5DED8"/>
      </right>
      <top style="thin">
        <color rgb="00D5DED8"/>
      </top>
      <bottom style="thin">
        <color rgb="00D5DE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9" fontId="6" fillId="4" borderId="1" applyAlignment="1" pivotButton="0" quotePrefix="0" xfId="0">
      <alignment horizontal="center"/>
    </xf>
    <xf numFmtId="0" fontId="2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left"/>
    </xf>
    <xf numFmtId="9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bgColor rgb="00E7F4EE"/>
        </patternFill>
      </fill>
    </dxf>
    <dxf>
      <fill>
        <patternFill patternType="solid">
          <bgColor rgb="00FFF6E2"/>
        </patternFill>
      </fill>
    </dxf>
    <dxf>
      <fill>
        <patternFill patternType="solid">
          <bgColor rgb="00E4EEFD"/>
        </patternFill>
      </fill>
    </dxf>
    <dxf>
      <fill>
        <patternFill patternType="solid">
          <bgColor rgb="00F2F4F3"/>
        </patternFill>
      </fill>
    </dxf>
    <dxf>
      <font>
        <b val="1"/>
        <color rgb="009C2B18"/>
      </font>
      <fill>
        <patternFill patternType="solid">
          <bgColor rgb="00FBE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0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9" max="9"/>
    <col width="8" customWidth="1" min="10" max="10"/>
    <col width="10" customWidth="1" min="11" max="11"/>
  </cols>
  <sheetData>
    <row r="1">
      <c r="A1" s="1" t="inlineStr">
        <is>
          <t>整體進度</t>
        </is>
      </c>
      <c r="I1" s="1" t="inlineStr">
        <is>
          <t>各區塊進度</t>
        </is>
      </c>
    </row>
    <row r="2">
      <c r="A2" s="2" t="inlineStr">
        <is>
          <t>全部是公式，改「頁面進度」這裡就會跟著動。</t>
        </is>
      </c>
    </row>
    <row r="4" ht="30" customHeight="1">
      <c r="A4" s="3" t="inlineStr">
        <is>
          <t>項目</t>
        </is>
      </c>
      <c r="B4" s="3" t="inlineStr">
        <is>
          <t>數量</t>
        </is>
      </c>
      <c r="C4" s="3" t="inlineStr">
        <is>
          <t>說明</t>
        </is>
      </c>
      <c r="I4" s="3" t="inlineStr">
        <is>
          <t>區塊</t>
        </is>
      </c>
      <c r="J4" s="3" t="inlineStr">
        <is>
          <t>頁數</t>
        </is>
      </c>
      <c r="K4" s="3" t="inlineStr">
        <is>
          <t>已完成</t>
        </is>
      </c>
    </row>
    <row r="5">
      <c r="A5" s="4" t="inlineStr">
        <is>
          <t>總頁數</t>
        </is>
      </c>
      <c r="B5" s="5">
        <f>COUNTA('頁面進度'!$B$5:$B$31)</f>
        <v/>
      </c>
      <c r="C5" s="6" t="inlineStr">
        <is>
          <t>wiki/pages 底下所有頁面</t>
        </is>
      </c>
      <c r="I5" s="7" t="inlineStr">
        <is>
          <t>首頁</t>
        </is>
      </c>
      <c r="J5" s="8">
        <f>COUNTIF('頁面進度'!$A$5:$A$31,I5)</f>
        <v/>
      </c>
      <c r="K5" s="8">
        <f>COUNTIFS('頁面進度'!$A$5:$A$31,I5,'頁面進度'!$G$5:$G$31,"已完成")</f>
        <v/>
      </c>
    </row>
    <row r="6">
      <c r="A6" s="4" t="inlineStr">
        <is>
          <t>已完成</t>
        </is>
      </c>
      <c r="B6" s="5">
        <f>COUNTIF('頁面進度'!$G$5:$G$31,"已完成")</f>
        <v/>
      </c>
      <c r="C6" s="6" t="inlineStr"/>
      <c r="I6" s="7" t="inlineStr">
        <is>
          <t>Project</t>
        </is>
      </c>
      <c r="J6" s="8">
        <f>COUNTIF('頁面進度'!$A$5:$A$31,I6)</f>
        <v/>
      </c>
      <c r="K6" s="8">
        <f>COUNTIFS('頁面進度'!$A$5:$A$31,I6,'頁面進度'!$G$5:$G$31,"已完成")</f>
        <v/>
      </c>
    </row>
    <row r="7">
      <c r="A7" s="4" t="inlineStr">
        <is>
          <t>待審查</t>
        </is>
      </c>
      <c r="B7" s="5">
        <f>COUNTIF('頁面進度'!$G$5:$G$31,"待審查")</f>
        <v/>
      </c>
      <c r="C7" s="6" t="inlineStr">
        <is>
          <t>等 Web Lead 看過</t>
        </is>
      </c>
      <c r="I7" s="7" t="inlineStr">
        <is>
          <t>Wet</t>
        </is>
      </c>
      <c r="J7" s="8">
        <f>COUNTIF('頁面進度'!$A$5:$A$31,I7)</f>
        <v/>
      </c>
      <c r="K7" s="8">
        <f>COUNTIFS('頁面進度'!$A$5:$A$31,I7,'頁面進度'!$G$5:$G$31,"已完成")</f>
        <v/>
      </c>
    </row>
    <row r="8">
      <c r="A8" s="4" t="inlineStr">
        <is>
          <t>進行中</t>
        </is>
      </c>
      <c r="B8" s="5">
        <f>COUNTIF('頁面進度'!$G$5:$G$31,"進行中")</f>
        <v/>
      </c>
      <c r="C8" s="6" t="inlineStr"/>
      <c r="I8" s="7" t="inlineStr">
        <is>
          <t>Dry</t>
        </is>
      </c>
      <c r="J8" s="8">
        <f>COUNTIF('頁面進度'!$A$5:$A$31,I8)</f>
        <v/>
      </c>
      <c r="K8" s="8">
        <f>COUNTIFS('頁面進度'!$A$5:$A$31,I8,'頁面進度'!$G$5:$G$31,"已完成")</f>
        <v/>
      </c>
    </row>
    <row r="9">
      <c r="A9" s="4" t="inlineStr">
        <is>
          <t>未開始</t>
        </is>
      </c>
      <c r="B9" s="5">
        <f>COUNTIF('頁面進度'!$G$5:$G$31,"未開始")</f>
        <v/>
      </c>
      <c r="C9" s="6" t="inlineStr"/>
      <c r="I9" s="7" t="inlineStr">
        <is>
          <t>HP</t>
        </is>
      </c>
      <c r="J9" s="8">
        <f>COUNTIF('頁面進度'!$A$5:$A$31,I9)</f>
        <v/>
      </c>
      <c r="K9" s="8">
        <f>COUNTIFS('頁面進度'!$A$5:$A$31,I9,'頁面進度'!$G$5:$G$31,"已完成")</f>
        <v/>
      </c>
    </row>
    <row r="10">
      <c r="A10" s="4" t="inlineStr">
        <is>
          <t>尚未指派</t>
        </is>
      </c>
      <c r="B10" s="5">
        <f>COUNTBLANK('頁面進度'!$F$5:$F$31)</f>
        <v/>
      </c>
      <c r="C10" s="6" t="inlineStr">
        <is>
          <t>負責人還空著的頁數</t>
        </is>
      </c>
      <c r="I10" s="7" t="inlineStr">
        <is>
          <t>Team</t>
        </is>
      </c>
      <c r="J10" s="8">
        <f>COUNTIF('頁面進度'!$A$5:$A$31,I10)</f>
        <v/>
      </c>
      <c r="K10" s="8">
        <f>COUNTIFS('頁面進度'!$A$5:$A$31,I10,'頁面進度'!$G$5:$G$31,"已完成")</f>
        <v/>
      </c>
    </row>
    <row r="11">
      <c r="A11" s="4" t="inlineStr">
        <is>
          <t>已逾期</t>
        </is>
      </c>
      <c r="B11" s="5">
        <f>SUMPRODUCT(('頁面進度'!$H$5:$H$31&lt;&gt;"")*('頁面進度'!$H$5:$H$31&lt;TODAY())*('頁面進度'!$G$5:$G$31&lt;&gt;"已完成"))</f>
        <v/>
      </c>
      <c r="C11" s="6" t="inlineStr">
        <is>
          <t>過了截止日又還沒完成</t>
        </is>
      </c>
      <c r="I11" s="7" t="inlineStr">
        <is>
          <t>未在選單</t>
        </is>
      </c>
      <c r="J11" s="8">
        <f>COUNTIF('頁面進度'!$A$5:$A$31,I11)</f>
        <v/>
      </c>
      <c r="K11" s="8">
        <f>COUNTIFS('頁面進度'!$A$5:$A$31,I11,'頁面進度'!$G$5:$G$31,"已完成")</f>
        <v/>
      </c>
    </row>
    <row r="12">
      <c r="A12" s="9" t="inlineStr">
        <is>
          <t>完成率</t>
        </is>
      </c>
      <c r="B12" s="10">
        <f>IF(B5=0,0,B6/B5)</f>
        <v/>
      </c>
      <c r="C12" s="11" t="inlineStr">
        <is>
          <t>已完成 ÷ 總頁數</t>
        </is>
      </c>
    </row>
    <row r="14">
      <c r="I14" s="12" t="inlineStr">
        <is>
          <t>怎麼用</t>
        </is>
      </c>
    </row>
    <row r="15">
      <c r="A15" s="1" t="inlineStr">
        <is>
          <t>分人統計</t>
        </is>
      </c>
      <c r="I15" s="2" t="inlineStr">
        <is>
          <t>1. 負責人已經先分好了，用下拉選單就能改。</t>
        </is>
      </c>
    </row>
    <row r="16">
      <c r="I16" s="2" t="inlineStr">
        <is>
          <t>2. 進度改成 進行中／待審查／已完成，這一頁自己會更新。</t>
        </is>
      </c>
    </row>
    <row r="17" ht="30" customHeight="1">
      <c r="A17" s="3" t="inlineStr">
        <is>
          <t>姓名</t>
        </is>
      </c>
      <c r="B17" s="3" t="inlineStr">
        <is>
          <t>負責</t>
        </is>
      </c>
      <c r="C17" s="3" t="inlineStr">
        <is>
          <t>已完成</t>
        </is>
      </c>
      <c r="D17" s="3" t="inlineStr">
        <is>
          <t>待審查</t>
        </is>
      </c>
      <c r="E17" s="3" t="inlineStr">
        <is>
          <t>進行中</t>
        </is>
      </c>
      <c r="F17" s="3" t="inlineStr">
        <is>
          <t>未開始</t>
        </is>
      </c>
      <c r="G17" s="3" t="inlineStr">
        <is>
          <t>完成率</t>
        </is>
      </c>
      <c r="I17" s="2" t="inlineStr">
        <is>
          <t>3. 截止日過了又沒完成，那格會變紅。</t>
        </is>
      </c>
    </row>
    <row r="18">
      <c r="A18" s="13">
        <f>'成員'!$A$5</f>
        <v/>
      </c>
      <c r="B18" s="8">
        <f>IF('成員'!$A$5="","",COUNTIF('頁面進度'!$F$5:$F$31,'成員'!$A$5))</f>
        <v/>
      </c>
      <c r="C18" s="8">
        <f>IF('成員'!$A$5="","",COUNTIFS('頁面進度'!$F$5:$F$31,'成員'!$A$5,'頁面進度'!$G$5:$G$31,"已完成"))</f>
        <v/>
      </c>
      <c r="D18" s="8">
        <f>IF('成員'!$A$5="","",COUNTIFS('頁面進度'!$F$5:$F$31,'成員'!$A$5,'頁面進度'!$G$5:$G$31,"待審查"))</f>
        <v/>
      </c>
      <c r="E18" s="8">
        <f>IF('成員'!$A$5="","",COUNTIFS('頁面進度'!$F$5:$F$31,'成員'!$A$5,'頁面進度'!$G$5:$G$31,"進行中"))</f>
        <v/>
      </c>
      <c r="F18" s="8">
        <f>IF('成員'!$A$5="","",COUNTIFS('頁面進度'!$F$5:$F$31,'成員'!$A$5,'頁面進度'!$G$5:$G$31,"未開始"))</f>
        <v/>
      </c>
      <c r="G18" s="14">
        <f>IF('成員'!$A$5="","",IF(COUNTIF('頁面進度'!$F$5:$F$31,'成員'!$A$5)=0,"",COUNTIFS('頁面進度'!$F$5:$F$31,'成員'!$A$5,'頁面進度'!$G$5:$G$31,"已完成")/COUNTIF('頁面進度'!$F$5:$F$31,'成員'!$A$5)))</f>
        <v/>
      </c>
      <c r="I18" s="2" t="inlineStr">
        <is>
          <t>4. 沒有負責人的頁面，負責人欄位是黃色的。</t>
        </is>
      </c>
    </row>
    <row r="19">
      <c r="A19" s="13">
        <f>'成員'!$A$6</f>
        <v/>
      </c>
      <c r="B19" s="8">
        <f>IF('成員'!$A$6="","",COUNTIF('頁面進度'!$F$5:$F$31,'成員'!$A$6))</f>
        <v/>
      </c>
      <c r="C19" s="8">
        <f>IF('成員'!$A$6="","",COUNTIFS('頁面進度'!$F$5:$F$31,'成員'!$A$6,'頁面進度'!$G$5:$G$31,"已完成"))</f>
        <v/>
      </c>
      <c r="D19" s="8">
        <f>IF('成員'!$A$6="","",COUNTIFS('頁面進度'!$F$5:$F$31,'成員'!$A$6,'頁面進度'!$G$5:$G$31,"待審查"))</f>
        <v/>
      </c>
      <c r="E19" s="8">
        <f>IF('成員'!$A$6="","",COUNTIFS('頁面進度'!$F$5:$F$31,'成員'!$A$6,'頁面進度'!$G$5:$G$31,"進行中"))</f>
        <v/>
      </c>
      <c r="F19" s="8">
        <f>IF('成員'!$A$6="","",COUNTIFS('頁面進度'!$F$5:$F$31,'成員'!$A$6,'頁面進度'!$G$5:$G$31,"未開始"))</f>
        <v/>
      </c>
      <c r="G19" s="14">
        <f>IF('成員'!$A$6="","",IF(COUNTIF('頁面進度'!$F$5:$F$31,'成員'!$A$6)=0,"",COUNTIFS('頁面進度'!$F$5:$F$31,'成員'!$A$6,'頁面進度'!$G$5:$G$31,"已完成")/COUNTIF('頁面進度'!$F$5:$F$31,'成員'!$A$6)))</f>
        <v/>
      </c>
      <c r="I19" s="2" t="inlineStr">
        <is>
          <t>5. 要加人就到「成員」分頁往下填，下拉選單會跟著多。</t>
        </is>
      </c>
    </row>
    <row r="20">
      <c r="A20" s="13">
        <f>'成員'!$A$7</f>
        <v/>
      </c>
      <c r="B20" s="8">
        <f>IF('成員'!$A$7="","",COUNTIF('頁面進度'!$F$5:$F$31,'成員'!$A$7))</f>
        <v/>
      </c>
      <c r="C20" s="8">
        <f>IF('成員'!$A$7="","",COUNTIFS('頁面進度'!$F$5:$F$31,'成員'!$A$7,'頁面進度'!$G$5:$G$31,"已完成"))</f>
        <v/>
      </c>
      <c r="D20" s="8">
        <f>IF('成員'!$A$7="","",COUNTIFS('頁面進度'!$F$5:$F$31,'成員'!$A$7,'頁面進度'!$G$5:$G$31,"待審查"))</f>
        <v/>
      </c>
      <c r="E20" s="8">
        <f>IF('成員'!$A$7="","",COUNTIFS('頁面進度'!$F$5:$F$31,'成員'!$A$7,'頁面進度'!$G$5:$G$31,"進行中"))</f>
        <v/>
      </c>
      <c r="F20" s="8">
        <f>IF('成員'!$A$7="","",COUNTIFS('頁面進度'!$F$5:$F$31,'成員'!$A$7,'頁面進度'!$G$5:$G$31,"未開始"))</f>
        <v/>
      </c>
      <c r="G20" s="14">
        <f>IF('成員'!$A$7="","",IF(COUNTIF('頁面進度'!$F$5:$F$31,'成員'!$A$7)=0,"",COUNTIFS('頁面進度'!$F$5:$F$31,'成員'!$A$7,'頁面進度'!$G$5:$G$31,"已完成")/COUNTIF('頁面進度'!$F$5:$F$31,'成員'!$A$7)))</f>
        <v/>
      </c>
    </row>
    <row r="21">
      <c r="A21" s="13">
        <f>'成員'!$A$8</f>
        <v/>
      </c>
      <c r="B21" s="8">
        <f>IF('成員'!$A$8="","",COUNTIF('頁面進度'!$F$5:$F$31,'成員'!$A$8))</f>
        <v/>
      </c>
      <c r="C21" s="8">
        <f>IF('成員'!$A$8="","",COUNTIFS('頁面進度'!$F$5:$F$31,'成員'!$A$8,'頁面進度'!$G$5:$G$31,"已完成"))</f>
        <v/>
      </c>
      <c r="D21" s="8">
        <f>IF('成員'!$A$8="","",COUNTIFS('頁面進度'!$F$5:$F$31,'成員'!$A$8,'頁面進度'!$G$5:$G$31,"待審查"))</f>
        <v/>
      </c>
      <c r="E21" s="8">
        <f>IF('成員'!$A$8="","",COUNTIFS('頁面進度'!$F$5:$F$31,'成員'!$A$8,'頁面進度'!$G$5:$G$31,"進行中"))</f>
        <v/>
      </c>
      <c r="F21" s="8">
        <f>IF('成員'!$A$8="","",COUNTIFS('頁面進度'!$F$5:$F$31,'成員'!$A$8,'頁面進度'!$G$5:$G$31,"未開始"))</f>
        <v/>
      </c>
      <c r="G21" s="14">
        <f>IF('成員'!$A$8="","",IF(COUNTIF('頁面進度'!$F$5:$F$31,'成員'!$A$8)=0,"",COUNTIFS('頁面進度'!$F$5:$F$31,'成員'!$A$8,'頁面進度'!$G$5:$G$31,"已完成")/COUNTIF('頁面進度'!$F$5:$F$31,'成員'!$A$8)))</f>
        <v/>
      </c>
    </row>
    <row r="22">
      <c r="A22" s="13">
        <f>'成員'!$A$9</f>
        <v/>
      </c>
      <c r="B22" s="8">
        <f>IF('成員'!$A$9="","",COUNTIF('頁面進度'!$F$5:$F$31,'成員'!$A$9))</f>
        <v/>
      </c>
      <c r="C22" s="8">
        <f>IF('成員'!$A$9="","",COUNTIFS('頁面進度'!$F$5:$F$31,'成員'!$A$9,'頁面進度'!$G$5:$G$31,"已完成"))</f>
        <v/>
      </c>
      <c r="D22" s="8">
        <f>IF('成員'!$A$9="","",COUNTIFS('頁面進度'!$F$5:$F$31,'成員'!$A$9,'頁面進度'!$G$5:$G$31,"待審查"))</f>
        <v/>
      </c>
      <c r="E22" s="8">
        <f>IF('成員'!$A$9="","",COUNTIFS('頁面進度'!$F$5:$F$31,'成員'!$A$9,'頁面進度'!$G$5:$G$31,"進行中"))</f>
        <v/>
      </c>
      <c r="F22" s="8">
        <f>IF('成員'!$A$9="","",COUNTIFS('頁面進度'!$F$5:$F$31,'成員'!$A$9,'頁面進度'!$G$5:$G$31,"未開始"))</f>
        <v/>
      </c>
      <c r="G22" s="14">
        <f>IF('成員'!$A$9="","",IF(COUNTIF('頁面進度'!$F$5:$F$31,'成員'!$A$9)=0,"",COUNTIFS('頁面進度'!$F$5:$F$31,'成員'!$A$9,'頁面進度'!$G$5:$G$31,"已完成")/COUNTIF('頁面進度'!$F$5:$F$31,'成員'!$A$9)))</f>
        <v/>
      </c>
    </row>
    <row r="23">
      <c r="A23" s="13">
        <f>'成員'!$A$10</f>
        <v/>
      </c>
      <c r="B23" s="8">
        <f>IF('成員'!$A$10="","",COUNTIF('頁面進度'!$F$5:$F$31,'成員'!$A$10))</f>
        <v/>
      </c>
      <c r="C23" s="8">
        <f>IF('成員'!$A$10="","",COUNTIFS('頁面進度'!$F$5:$F$31,'成員'!$A$10,'頁面進度'!$G$5:$G$31,"已完成"))</f>
        <v/>
      </c>
      <c r="D23" s="8">
        <f>IF('成員'!$A$10="","",COUNTIFS('頁面進度'!$F$5:$F$31,'成員'!$A$10,'頁面進度'!$G$5:$G$31,"待審查"))</f>
        <v/>
      </c>
      <c r="E23" s="8">
        <f>IF('成員'!$A$10="","",COUNTIFS('頁面進度'!$F$5:$F$31,'成員'!$A$10,'頁面進度'!$G$5:$G$31,"進行中"))</f>
        <v/>
      </c>
      <c r="F23" s="8">
        <f>IF('成員'!$A$10="","",COUNTIFS('頁面進度'!$F$5:$F$31,'成員'!$A$10,'頁面進度'!$G$5:$G$31,"未開始"))</f>
        <v/>
      </c>
      <c r="G23" s="14">
        <f>IF('成員'!$A$10="","",IF(COUNTIF('頁面進度'!$F$5:$F$31,'成員'!$A$10)=0,"",COUNTIFS('頁面進度'!$F$5:$F$31,'成員'!$A$10,'頁面進度'!$G$5:$G$31,"已完成")/COUNTIF('頁面進度'!$F$5:$F$31,'成員'!$A$10)))</f>
        <v/>
      </c>
    </row>
    <row r="24">
      <c r="A24" s="13">
        <f>'成員'!$A$11</f>
        <v/>
      </c>
      <c r="B24" s="8">
        <f>IF('成員'!$A$11="","",COUNTIF('頁面進度'!$F$5:$F$31,'成員'!$A$11))</f>
        <v/>
      </c>
      <c r="C24" s="8">
        <f>IF('成員'!$A$11="","",COUNTIFS('頁面進度'!$F$5:$F$31,'成員'!$A$11,'頁面進度'!$G$5:$G$31,"已完成"))</f>
        <v/>
      </c>
      <c r="D24" s="8">
        <f>IF('成員'!$A$11="","",COUNTIFS('頁面進度'!$F$5:$F$31,'成員'!$A$11,'頁面進度'!$G$5:$G$31,"待審查"))</f>
        <v/>
      </c>
      <c r="E24" s="8">
        <f>IF('成員'!$A$11="","",COUNTIFS('頁面進度'!$F$5:$F$31,'成員'!$A$11,'頁面進度'!$G$5:$G$31,"進行中"))</f>
        <v/>
      </c>
      <c r="F24" s="8">
        <f>IF('成員'!$A$11="","",COUNTIFS('頁面進度'!$F$5:$F$31,'成員'!$A$11,'頁面進度'!$G$5:$G$31,"未開始"))</f>
        <v/>
      </c>
      <c r="G24" s="14">
        <f>IF('成員'!$A$11="","",IF(COUNTIF('頁面進度'!$F$5:$F$31,'成員'!$A$11)=0,"",COUNTIFS('頁面進度'!$F$5:$F$31,'成員'!$A$11,'頁面進度'!$G$5:$G$31,"已完成")/COUNTIF('頁面進度'!$F$5:$F$31,'成員'!$A$11)))</f>
        <v/>
      </c>
    </row>
    <row r="25">
      <c r="A25" s="13">
        <f>'成員'!$A$12</f>
        <v/>
      </c>
      <c r="B25" s="8">
        <f>IF('成員'!$A$12="","",COUNTIF('頁面進度'!$F$5:$F$31,'成員'!$A$12))</f>
        <v/>
      </c>
      <c r="C25" s="8">
        <f>IF('成員'!$A$12="","",COUNTIFS('頁面進度'!$F$5:$F$31,'成員'!$A$12,'頁面進度'!$G$5:$G$31,"已完成"))</f>
        <v/>
      </c>
      <c r="D25" s="8">
        <f>IF('成員'!$A$12="","",COUNTIFS('頁面進度'!$F$5:$F$31,'成員'!$A$12,'頁面進度'!$G$5:$G$31,"待審查"))</f>
        <v/>
      </c>
      <c r="E25" s="8">
        <f>IF('成員'!$A$12="","",COUNTIFS('頁面進度'!$F$5:$F$31,'成員'!$A$12,'頁面進度'!$G$5:$G$31,"進行中"))</f>
        <v/>
      </c>
      <c r="F25" s="8">
        <f>IF('成員'!$A$12="","",COUNTIFS('頁面進度'!$F$5:$F$31,'成員'!$A$12,'頁面進度'!$G$5:$G$31,"未開始"))</f>
        <v/>
      </c>
      <c r="G25" s="14">
        <f>IF('成員'!$A$12="","",IF(COUNTIF('頁面進度'!$F$5:$F$31,'成員'!$A$12)=0,"",COUNTIFS('頁面進度'!$F$5:$F$31,'成員'!$A$12,'頁面進度'!$G$5:$G$31,"已完成")/COUNTIF('頁面進度'!$F$5:$F$31,'成員'!$A$12)))</f>
        <v/>
      </c>
    </row>
    <row r="26">
      <c r="A26" s="13">
        <f>'成員'!$A$13</f>
        <v/>
      </c>
      <c r="B26" s="8">
        <f>IF('成員'!$A$13="","",COUNTIF('頁面進度'!$F$5:$F$31,'成員'!$A$13))</f>
        <v/>
      </c>
      <c r="C26" s="8">
        <f>IF('成員'!$A$13="","",COUNTIFS('頁面進度'!$F$5:$F$31,'成員'!$A$13,'頁面進度'!$G$5:$G$31,"已完成"))</f>
        <v/>
      </c>
      <c r="D26" s="8">
        <f>IF('成員'!$A$13="","",COUNTIFS('頁面進度'!$F$5:$F$31,'成員'!$A$13,'頁面進度'!$G$5:$G$31,"待審查"))</f>
        <v/>
      </c>
      <c r="E26" s="8">
        <f>IF('成員'!$A$13="","",COUNTIFS('頁面進度'!$F$5:$F$31,'成員'!$A$13,'頁面進度'!$G$5:$G$31,"進行中"))</f>
        <v/>
      </c>
      <c r="F26" s="8">
        <f>IF('成員'!$A$13="","",COUNTIFS('頁面進度'!$F$5:$F$31,'成員'!$A$13,'頁面進度'!$G$5:$G$31,"未開始"))</f>
        <v/>
      </c>
      <c r="G26" s="14">
        <f>IF('成員'!$A$13="","",IF(COUNTIF('頁面進度'!$F$5:$F$31,'成員'!$A$13)=0,"",COUNTIFS('頁面進度'!$F$5:$F$31,'成員'!$A$13,'頁面進度'!$G$5:$G$31,"已完成")/COUNTIF('頁面進度'!$F$5:$F$31,'成員'!$A$13)))</f>
        <v/>
      </c>
    </row>
    <row r="27">
      <c r="A27" s="13">
        <f>'成員'!$A$14</f>
        <v/>
      </c>
      <c r="B27" s="8">
        <f>IF('成員'!$A$14="","",COUNTIF('頁面進度'!$F$5:$F$31,'成員'!$A$14))</f>
        <v/>
      </c>
      <c r="C27" s="8">
        <f>IF('成員'!$A$14="","",COUNTIFS('頁面進度'!$F$5:$F$31,'成員'!$A$14,'頁面進度'!$G$5:$G$31,"已完成"))</f>
        <v/>
      </c>
      <c r="D27" s="8">
        <f>IF('成員'!$A$14="","",COUNTIFS('頁面進度'!$F$5:$F$31,'成員'!$A$14,'頁面進度'!$G$5:$G$31,"待審查"))</f>
        <v/>
      </c>
      <c r="E27" s="8">
        <f>IF('成員'!$A$14="","",COUNTIFS('頁面進度'!$F$5:$F$31,'成員'!$A$14,'頁面進度'!$G$5:$G$31,"進行中"))</f>
        <v/>
      </c>
      <c r="F27" s="8">
        <f>IF('成員'!$A$14="","",COUNTIFS('頁面進度'!$F$5:$F$31,'成員'!$A$14,'頁面進度'!$G$5:$G$31,"未開始"))</f>
        <v/>
      </c>
      <c r="G27" s="14">
        <f>IF('成員'!$A$14="","",IF(COUNTIF('頁面進度'!$F$5:$F$31,'成員'!$A$14)=0,"",COUNTIFS('頁面進度'!$F$5:$F$31,'成員'!$A$14,'頁面進度'!$G$5:$G$31,"已完成")/COUNTIF('頁面進度'!$F$5:$F$31,'成員'!$A$14)))</f>
        <v/>
      </c>
    </row>
    <row r="28">
      <c r="A28" s="13">
        <f>'成員'!$A$15</f>
        <v/>
      </c>
      <c r="B28" s="8">
        <f>IF('成員'!$A$15="","",COUNTIF('頁面進度'!$F$5:$F$31,'成員'!$A$15))</f>
        <v/>
      </c>
      <c r="C28" s="8">
        <f>IF('成員'!$A$15="","",COUNTIFS('頁面進度'!$F$5:$F$31,'成員'!$A$15,'頁面進度'!$G$5:$G$31,"已完成"))</f>
        <v/>
      </c>
      <c r="D28" s="8">
        <f>IF('成員'!$A$15="","",COUNTIFS('頁面進度'!$F$5:$F$31,'成員'!$A$15,'頁面進度'!$G$5:$G$31,"待審查"))</f>
        <v/>
      </c>
      <c r="E28" s="8">
        <f>IF('成員'!$A$15="","",COUNTIFS('頁面進度'!$F$5:$F$31,'成員'!$A$15,'頁面進度'!$G$5:$G$31,"進行中"))</f>
        <v/>
      </c>
      <c r="F28" s="8">
        <f>IF('成員'!$A$15="","",COUNTIFS('頁面進度'!$F$5:$F$31,'成員'!$A$15,'頁面進度'!$G$5:$G$31,"未開始"))</f>
        <v/>
      </c>
      <c r="G28" s="14">
        <f>IF('成員'!$A$15="","",IF(COUNTIF('頁面進度'!$F$5:$F$31,'成員'!$A$15)=0,"",COUNTIFS('頁面進度'!$F$5:$F$31,'成員'!$A$15,'頁面進度'!$G$5:$G$31,"已完成")/COUNTIF('頁面進度'!$F$5:$F$31,'成員'!$A$15)))</f>
        <v/>
      </c>
    </row>
    <row r="29">
      <c r="A29" s="13">
        <f>'成員'!$A$16</f>
        <v/>
      </c>
      <c r="B29" s="8">
        <f>IF('成員'!$A$16="","",COUNTIF('頁面進度'!$F$5:$F$31,'成員'!$A$16))</f>
        <v/>
      </c>
      <c r="C29" s="8">
        <f>IF('成員'!$A$16="","",COUNTIFS('頁面進度'!$F$5:$F$31,'成員'!$A$16,'頁面進度'!$G$5:$G$31,"已完成"))</f>
        <v/>
      </c>
      <c r="D29" s="8">
        <f>IF('成員'!$A$16="","",COUNTIFS('頁面進度'!$F$5:$F$31,'成員'!$A$16,'頁面進度'!$G$5:$G$31,"待審查"))</f>
        <v/>
      </c>
      <c r="E29" s="8">
        <f>IF('成員'!$A$16="","",COUNTIFS('頁面進度'!$F$5:$F$31,'成員'!$A$16,'頁面進度'!$G$5:$G$31,"進行中"))</f>
        <v/>
      </c>
      <c r="F29" s="8">
        <f>IF('成員'!$A$16="","",COUNTIFS('頁面進度'!$F$5:$F$31,'成員'!$A$16,'頁面進度'!$G$5:$G$31,"未開始"))</f>
        <v/>
      </c>
      <c r="G29" s="14">
        <f>IF('成員'!$A$16="","",IF(COUNTIF('頁面進度'!$F$5:$F$31,'成員'!$A$16)=0,"",COUNTIFS('頁面進度'!$F$5:$F$31,'成員'!$A$16,'頁面進度'!$G$5:$G$31,"已完成")/COUNTIF('頁面進度'!$F$5:$F$31,'成員'!$A$16)))</f>
        <v/>
      </c>
    </row>
    <row r="30">
      <c r="A30" s="13">
        <f>'成員'!$A$17</f>
        <v/>
      </c>
      <c r="B30" s="8">
        <f>IF('成員'!$A$17="","",COUNTIF('頁面進度'!$F$5:$F$31,'成員'!$A$17))</f>
        <v/>
      </c>
      <c r="C30" s="8">
        <f>IF('成員'!$A$17="","",COUNTIFS('頁面進度'!$F$5:$F$31,'成員'!$A$17,'頁面進度'!$G$5:$G$31,"已完成"))</f>
        <v/>
      </c>
      <c r="D30" s="8">
        <f>IF('成員'!$A$17="","",COUNTIFS('頁面進度'!$F$5:$F$31,'成員'!$A$17,'頁面進度'!$G$5:$G$31,"待審查"))</f>
        <v/>
      </c>
      <c r="E30" s="8">
        <f>IF('成員'!$A$17="","",COUNTIFS('頁面進度'!$F$5:$F$31,'成員'!$A$17,'頁面進度'!$G$5:$G$31,"進行中"))</f>
        <v/>
      </c>
      <c r="F30" s="8">
        <f>IF('成員'!$A$17="","",COUNTIFS('頁面進度'!$F$5:$F$31,'成員'!$A$17,'頁面進度'!$G$5:$G$31,"未開始"))</f>
        <v/>
      </c>
      <c r="G30" s="14">
        <f>IF('成員'!$A$17="","",IF(COUNTIF('頁面進度'!$F$5:$F$31,'成員'!$A$17)=0,"",COUNTIFS('頁面進度'!$F$5:$F$31,'成員'!$A$17,'頁面進度'!$G$5:$G$31,"已完成")/COUNTIF('頁面進度'!$F$5:$F$31,'成員'!$A$17)))</f>
        <v/>
      </c>
    </row>
    <row r="31">
      <c r="A31" s="13">
        <f>'成員'!$A$18</f>
        <v/>
      </c>
      <c r="B31" s="8">
        <f>IF('成員'!$A$18="","",COUNTIF('頁面進度'!$F$5:$F$31,'成員'!$A$18))</f>
        <v/>
      </c>
      <c r="C31" s="8">
        <f>IF('成員'!$A$18="","",COUNTIFS('頁面進度'!$F$5:$F$31,'成員'!$A$18,'頁面進度'!$G$5:$G$31,"已完成"))</f>
        <v/>
      </c>
      <c r="D31" s="8">
        <f>IF('成員'!$A$18="","",COUNTIFS('頁面進度'!$F$5:$F$31,'成員'!$A$18,'頁面進度'!$G$5:$G$31,"待審查"))</f>
        <v/>
      </c>
      <c r="E31" s="8">
        <f>IF('成員'!$A$18="","",COUNTIFS('頁面進度'!$F$5:$F$31,'成員'!$A$18,'頁面進度'!$G$5:$G$31,"進行中"))</f>
        <v/>
      </c>
      <c r="F31" s="8">
        <f>IF('成員'!$A$18="","",COUNTIFS('頁面進度'!$F$5:$F$31,'成員'!$A$18,'頁面進度'!$G$5:$G$31,"未開始"))</f>
        <v/>
      </c>
      <c r="G31" s="14">
        <f>IF('成員'!$A$18="","",IF(COUNTIF('頁面進度'!$F$5:$F$31,'成員'!$A$18)=0,"",COUNTIFS('頁面進度'!$F$5:$F$31,'成員'!$A$18,'頁面進度'!$G$5:$G$31,"已完成")/COUNTIF('頁面進度'!$F$5:$F$31,'成員'!$A$18)))</f>
        <v/>
      </c>
    </row>
    <row r="32">
      <c r="A32" s="13">
        <f>'成員'!$A$19</f>
        <v/>
      </c>
      <c r="B32" s="8">
        <f>IF('成員'!$A$19="","",COUNTIF('頁面進度'!$F$5:$F$31,'成員'!$A$19))</f>
        <v/>
      </c>
      <c r="C32" s="8">
        <f>IF('成員'!$A$19="","",COUNTIFS('頁面進度'!$F$5:$F$31,'成員'!$A$19,'頁面進度'!$G$5:$G$31,"已完成"))</f>
        <v/>
      </c>
      <c r="D32" s="8">
        <f>IF('成員'!$A$19="","",COUNTIFS('頁面進度'!$F$5:$F$31,'成員'!$A$19,'頁面進度'!$G$5:$G$31,"待審查"))</f>
        <v/>
      </c>
      <c r="E32" s="8">
        <f>IF('成員'!$A$19="","",COUNTIFS('頁面進度'!$F$5:$F$31,'成員'!$A$19,'頁面進度'!$G$5:$G$31,"進行中"))</f>
        <v/>
      </c>
      <c r="F32" s="8">
        <f>IF('成員'!$A$19="","",COUNTIFS('頁面進度'!$F$5:$F$31,'成員'!$A$19,'頁面進度'!$G$5:$G$31,"未開始"))</f>
        <v/>
      </c>
      <c r="G32" s="14">
        <f>IF('成員'!$A$19="","",IF(COUNTIF('頁面進度'!$F$5:$F$31,'成員'!$A$19)=0,"",COUNTIFS('頁面進度'!$F$5:$F$31,'成員'!$A$19,'頁面進度'!$G$5:$G$31,"已完成")/COUNTIF('頁面進度'!$F$5:$F$31,'成員'!$A$19)))</f>
        <v/>
      </c>
    </row>
    <row r="33">
      <c r="A33" s="13">
        <f>'成員'!$A$20</f>
        <v/>
      </c>
      <c r="B33" s="8">
        <f>IF('成員'!$A$20="","",COUNTIF('頁面進度'!$F$5:$F$31,'成員'!$A$20))</f>
        <v/>
      </c>
      <c r="C33" s="8">
        <f>IF('成員'!$A$20="","",COUNTIFS('頁面進度'!$F$5:$F$31,'成員'!$A$20,'頁面進度'!$G$5:$G$31,"已完成"))</f>
        <v/>
      </c>
      <c r="D33" s="8">
        <f>IF('成員'!$A$20="","",COUNTIFS('頁面進度'!$F$5:$F$31,'成員'!$A$20,'頁面進度'!$G$5:$G$31,"待審查"))</f>
        <v/>
      </c>
      <c r="E33" s="8">
        <f>IF('成員'!$A$20="","",COUNTIFS('頁面進度'!$F$5:$F$31,'成員'!$A$20,'頁面進度'!$G$5:$G$31,"進行中"))</f>
        <v/>
      </c>
      <c r="F33" s="8">
        <f>IF('成員'!$A$20="","",COUNTIFS('頁面進度'!$F$5:$F$31,'成員'!$A$20,'頁面進度'!$G$5:$G$31,"未開始"))</f>
        <v/>
      </c>
      <c r="G33" s="14">
        <f>IF('成員'!$A$20="","",IF(COUNTIF('頁面進度'!$F$5:$F$31,'成員'!$A$20)=0,"",COUNTIFS('頁面進度'!$F$5:$F$31,'成員'!$A$20,'頁面進度'!$G$5:$G$31,"已完成")/COUNTIF('頁面進度'!$F$5:$F$31,'成員'!$A$20)))</f>
        <v/>
      </c>
    </row>
    <row r="34">
      <c r="A34" s="13">
        <f>'成員'!$A$21</f>
        <v/>
      </c>
      <c r="B34" s="8">
        <f>IF('成員'!$A$21="","",COUNTIF('頁面進度'!$F$5:$F$31,'成員'!$A$21))</f>
        <v/>
      </c>
      <c r="C34" s="8">
        <f>IF('成員'!$A$21="","",COUNTIFS('頁面進度'!$F$5:$F$31,'成員'!$A$21,'頁面進度'!$G$5:$G$31,"已完成"))</f>
        <v/>
      </c>
      <c r="D34" s="8">
        <f>IF('成員'!$A$21="","",COUNTIFS('頁面進度'!$F$5:$F$31,'成員'!$A$21,'頁面進度'!$G$5:$G$31,"待審查"))</f>
        <v/>
      </c>
      <c r="E34" s="8">
        <f>IF('成員'!$A$21="","",COUNTIFS('頁面進度'!$F$5:$F$31,'成員'!$A$21,'頁面進度'!$G$5:$G$31,"進行中"))</f>
        <v/>
      </c>
      <c r="F34" s="8">
        <f>IF('成員'!$A$21="","",COUNTIFS('頁面進度'!$F$5:$F$31,'成員'!$A$21,'頁面進度'!$G$5:$G$31,"未開始"))</f>
        <v/>
      </c>
      <c r="G34" s="14">
        <f>IF('成員'!$A$21="","",IF(COUNTIF('頁面進度'!$F$5:$F$31,'成員'!$A$21)=0,"",COUNTIFS('頁面進度'!$F$5:$F$31,'成員'!$A$21,'頁面進度'!$G$5:$G$31,"已完成")/COUNTIF('頁面進度'!$F$5:$F$31,'成員'!$A$21)))</f>
        <v/>
      </c>
    </row>
    <row r="35">
      <c r="A35" s="13">
        <f>'成員'!$A$22</f>
        <v/>
      </c>
      <c r="B35" s="8">
        <f>IF('成員'!$A$22="","",COUNTIF('頁面進度'!$F$5:$F$31,'成員'!$A$22))</f>
        <v/>
      </c>
      <c r="C35" s="8">
        <f>IF('成員'!$A$22="","",COUNTIFS('頁面進度'!$F$5:$F$31,'成員'!$A$22,'頁面進度'!$G$5:$G$31,"已完成"))</f>
        <v/>
      </c>
      <c r="D35" s="8">
        <f>IF('成員'!$A$22="","",COUNTIFS('頁面進度'!$F$5:$F$31,'成員'!$A$22,'頁面進度'!$G$5:$G$31,"待審查"))</f>
        <v/>
      </c>
      <c r="E35" s="8">
        <f>IF('成員'!$A$22="","",COUNTIFS('頁面進度'!$F$5:$F$31,'成員'!$A$22,'頁面進度'!$G$5:$G$31,"進行中"))</f>
        <v/>
      </c>
      <c r="F35" s="8">
        <f>IF('成員'!$A$22="","",COUNTIFS('頁面進度'!$F$5:$F$31,'成員'!$A$22,'頁面進度'!$G$5:$G$31,"未開始"))</f>
        <v/>
      </c>
      <c r="G35" s="14">
        <f>IF('成員'!$A$22="","",IF(COUNTIF('頁面進度'!$F$5:$F$31,'成員'!$A$22)=0,"",COUNTIFS('頁面進度'!$F$5:$F$31,'成員'!$A$22,'頁面進度'!$G$5:$G$31,"已完成")/COUNTIF('頁面進度'!$F$5:$F$31,'成員'!$A$22)))</f>
        <v/>
      </c>
    </row>
    <row r="36">
      <c r="A36" s="13">
        <f>'成員'!$A$23</f>
        <v/>
      </c>
      <c r="B36" s="8">
        <f>IF('成員'!$A$23="","",COUNTIF('頁面進度'!$F$5:$F$31,'成員'!$A$23))</f>
        <v/>
      </c>
      <c r="C36" s="8">
        <f>IF('成員'!$A$23="","",COUNTIFS('頁面進度'!$F$5:$F$31,'成員'!$A$23,'頁面進度'!$G$5:$G$31,"已完成"))</f>
        <v/>
      </c>
      <c r="D36" s="8">
        <f>IF('成員'!$A$23="","",COUNTIFS('頁面進度'!$F$5:$F$31,'成員'!$A$23,'頁面進度'!$G$5:$G$31,"待審查"))</f>
        <v/>
      </c>
      <c r="E36" s="8">
        <f>IF('成員'!$A$23="","",COUNTIFS('頁面進度'!$F$5:$F$31,'成員'!$A$23,'頁面進度'!$G$5:$G$31,"進行中"))</f>
        <v/>
      </c>
      <c r="F36" s="8">
        <f>IF('成員'!$A$23="","",COUNTIFS('頁面進度'!$F$5:$F$31,'成員'!$A$23,'頁面進度'!$G$5:$G$31,"未開始"))</f>
        <v/>
      </c>
      <c r="G36" s="14">
        <f>IF('成員'!$A$23="","",IF(COUNTIF('頁面進度'!$F$5:$F$31,'成員'!$A$23)=0,"",COUNTIFS('頁面進度'!$F$5:$F$31,'成員'!$A$23,'頁面進度'!$G$5:$G$31,"已完成")/COUNTIF('頁面進度'!$F$5:$F$31,'成員'!$A$23)))</f>
        <v/>
      </c>
    </row>
    <row r="37">
      <c r="A37" s="13">
        <f>'成員'!$A$24</f>
        <v/>
      </c>
      <c r="B37" s="8">
        <f>IF('成員'!$A$24="","",COUNTIF('頁面進度'!$F$5:$F$31,'成員'!$A$24))</f>
        <v/>
      </c>
      <c r="C37" s="8">
        <f>IF('成員'!$A$24="","",COUNTIFS('頁面進度'!$F$5:$F$31,'成員'!$A$24,'頁面進度'!$G$5:$G$31,"已完成"))</f>
        <v/>
      </c>
      <c r="D37" s="8">
        <f>IF('成員'!$A$24="","",COUNTIFS('頁面進度'!$F$5:$F$31,'成員'!$A$24,'頁面進度'!$G$5:$G$31,"待審查"))</f>
        <v/>
      </c>
      <c r="E37" s="8">
        <f>IF('成員'!$A$24="","",COUNTIFS('頁面進度'!$F$5:$F$31,'成員'!$A$24,'頁面進度'!$G$5:$G$31,"進行中"))</f>
        <v/>
      </c>
      <c r="F37" s="8">
        <f>IF('成員'!$A$24="","",COUNTIFS('頁面進度'!$F$5:$F$31,'成員'!$A$24,'頁面進度'!$G$5:$G$31,"未開始"))</f>
        <v/>
      </c>
      <c r="G37" s="14">
        <f>IF('成員'!$A$24="","",IF(COUNTIF('頁面進度'!$F$5:$F$31,'成員'!$A$24)=0,"",COUNTIFS('頁面進度'!$F$5:$F$31,'成員'!$A$24,'頁面進度'!$G$5:$G$31,"已完成")/COUNTIF('頁面進度'!$F$5:$F$31,'成員'!$A$24)))</f>
        <v/>
      </c>
    </row>
  </sheetData>
  <conditionalFormatting sqref="G18:G37">
    <cfRule type="cellIs" priority="1" operator="equal" dxfId="0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9" customWidth="1" min="4" max="4"/>
    <col width="14" customWidth="1" min="5" max="5"/>
    <col width="11" customWidth="1" min="6" max="6"/>
    <col width="10" customWidth="1" min="7" max="7"/>
    <col width="12" customWidth="1" min="8" max="8"/>
    <col width="50" customWidth="1" min="9" max="9"/>
  </cols>
  <sheetData>
    <row r="1">
      <c r="A1" s="1" t="inlineStr">
        <is>
          <t>Wiki 頁面進度</t>
        </is>
      </c>
    </row>
    <row r="2">
      <c r="A2" s="2" t="inlineStr">
        <is>
          <t>「目前狀態」「曾參與」是從 repo 和 git 讀出來的事實；負責人是建議分配，用下拉選單隨時改。</t>
        </is>
      </c>
    </row>
    <row r="4" ht="30" customHeight="1">
      <c r="A4" s="3" t="inlineStr">
        <is>
          <t>選單分類</t>
        </is>
      </c>
      <c r="B4" s="3" t="inlineStr">
        <is>
          <t>頁面</t>
        </is>
      </c>
      <c r="C4" s="3" t="inlineStr">
        <is>
          <t>檔案</t>
        </is>
      </c>
      <c r="D4" s="3" t="inlineStr">
        <is>
          <t>目前狀態（掃描 repo）</t>
        </is>
      </c>
      <c r="E4" s="3" t="inlineStr">
        <is>
          <t>曾參與（git）</t>
        </is>
      </c>
      <c r="F4" s="3" t="inlineStr">
        <is>
          <t>負責人</t>
        </is>
      </c>
      <c r="G4" s="3" t="inlineStr">
        <is>
          <t>進度</t>
        </is>
      </c>
      <c r="H4" s="3" t="inlineStr">
        <is>
          <t>截止日</t>
        </is>
      </c>
      <c r="I4" s="3" t="inlineStr">
        <is>
          <t>備註 / 待辦</t>
        </is>
      </c>
    </row>
    <row r="5" ht="28" customHeight="1">
      <c r="A5" s="15" t="inlineStr">
        <is>
          <t>首頁</t>
        </is>
      </c>
      <c r="B5" s="16" t="inlineStr">
        <is>
          <t>Home</t>
        </is>
      </c>
      <c r="C5" s="17" t="inlineStr">
        <is>
          <t>wiki/pages/home.html</t>
        </is>
      </c>
      <c r="D5" s="15" t="inlineStr">
        <is>
          <t>已有內容（146 行）</t>
        </is>
      </c>
      <c r="E5" s="15" t="inlineStr">
        <is>
          <t>Mella</t>
        </is>
      </c>
      <c r="F5" s="18" t="inlineStr">
        <is>
          <t>Mella</t>
        </is>
      </c>
      <c r="G5" s="15" t="inlineStr">
        <is>
          <t>未開始</t>
        </is>
      </c>
      <c r="H5" s="19" t="n"/>
      <c r="I5" s="20" t="inlineStr"/>
    </row>
    <row r="6" ht="28" customHeight="1">
      <c r="A6" s="15" t="inlineStr">
        <is>
          <t>Project</t>
        </is>
      </c>
      <c r="B6" s="16" t="inlineStr">
        <is>
          <t>Description</t>
        </is>
      </c>
      <c r="C6" s="17" t="inlineStr">
        <is>
          <t>wiki/pages/description.html</t>
        </is>
      </c>
      <c r="D6" s="15" t="inlineStr">
        <is>
          <t>已有內容（357 行）</t>
        </is>
      </c>
      <c r="E6" s="15" t="inlineStr"/>
      <c r="F6" s="18" t="inlineStr">
        <is>
          <t>Chun</t>
        </is>
      </c>
      <c r="G6" s="15" t="inlineStr">
        <is>
          <t>未開始</t>
        </is>
      </c>
      <c r="H6" s="19" t="n"/>
      <c r="I6" s="20" t="inlineStr">
        <is>
          <t>檔案內有給團隊的註記（22 行），動工前先讀</t>
        </is>
      </c>
    </row>
    <row r="7" ht="28" customHeight="1">
      <c r="A7" s="15" t="inlineStr">
        <is>
          <t>Project</t>
        </is>
      </c>
      <c r="B7" s="16" t="inlineStr">
        <is>
          <t>Notebook</t>
        </is>
      </c>
      <c r="C7" s="17" t="inlineStr">
        <is>
          <t>wiki/pages/notebook.html</t>
        </is>
      </c>
      <c r="D7" s="15" t="inlineStr">
        <is>
          <t>已有內容（252 行）</t>
        </is>
      </c>
      <c r="E7" s="15" t="inlineStr">
        <is>
          <t>Mella</t>
        </is>
      </c>
      <c r="F7" s="18" t="inlineStr">
        <is>
          <t>Mella</t>
        </is>
      </c>
      <c r="G7" s="15" t="inlineStr">
        <is>
          <t>未開始</t>
        </is>
      </c>
      <c r="H7" s="19" t="n"/>
      <c r="I7" s="20" t="inlineStr">
        <is>
          <t>檔案內有給團隊的註記（10 行），動工前先讀</t>
        </is>
      </c>
    </row>
    <row r="8" ht="28" customHeight="1">
      <c r="A8" s="15" t="inlineStr">
        <is>
          <t>Project</t>
        </is>
      </c>
      <c r="B8" s="16" t="inlineStr">
        <is>
          <t>Online Game</t>
        </is>
      </c>
      <c r="C8" s="17" t="inlineStr">
        <is>
          <t>wiki/pages/online-game.html</t>
        </is>
      </c>
      <c r="D8" s="15" t="inlineStr">
        <is>
          <t>已有內容（99 行）</t>
        </is>
      </c>
      <c r="E8" s="15" t="inlineStr">
        <is>
          <t>Mella</t>
        </is>
      </c>
      <c r="F8" s="18" t="inlineStr">
        <is>
          <t>Mella</t>
        </is>
      </c>
      <c r="G8" s="15" t="inlineStr">
        <is>
          <t>未開始</t>
        </is>
      </c>
      <c r="H8" s="19" t="n"/>
      <c r="I8" s="20" t="inlineStr"/>
    </row>
    <row r="9" ht="28" customHeight="1">
      <c r="A9" s="15" t="inlineStr">
        <is>
          <t>Project</t>
        </is>
      </c>
      <c r="B9" s="16" t="inlineStr">
        <is>
          <t>Contribution</t>
        </is>
      </c>
      <c r="C9" s="17" t="inlineStr">
        <is>
          <t>wiki/pages/contribution.html</t>
        </is>
      </c>
      <c r="D9" s="15" t="inlineStr">
        <is>
          <t>空白頁（未撰寫）</t>
        </is>
      </c>
      <c r="E9" s="15" t="inlineStr"/>
      <c r="F9" s="18" t="inlineStr">
        <is>
          <t>Mella</t>
        </is>
      </c>
      <c r="G9" s="15" t="inlineStr">
        <is>
          <t>未開始</t>
        </is>
      </c>
      <c r="H9" s="19" t="n"/>
      <c r="I9" s="20" t="inlineStr">
        <is>
          <t>註解裡有一句暫存的舊副標題；目前是空殼，要從零寫</t>
        </is>
      </c>
    </row>
    <row r="10" ht="28" customHeight="1">
      <c r="A10" s="15" t="inlineStr">
        <is>
          <t>Project</t>
        </is>
      </c>
      <c r="B10" s="16" t="inlineStr">
        <is>
          <t>Measurement</t>
        </is>
      </c>
      <c r="C10" s="17" t="inlineStr">
        <is>
          <t>wiki/pages/measurement.html</t>
        </is>
      </c>
      <c r="D10" s="15" t="inlineStr">
        <is>
          <t>空白頁（未撰寫）</t>
        </is>
      </c>
      <c r="E10" s="15" t="inlineStr"/>
      <c r="F10" s="18" t="inlineStr">
        <is>
          <t>Chun</t>
        </is>
      </c>
      <c r="G10" s="15" t="inlineStr">
        <is>
          <t>未開始</t>
        </is>
      </c>
      <c r="H10" s="19" t="n"/>
      <c r="I10" s="20" t="inlineStr">
        <is>
          <t>註解裡有一句暫存的舊副標題；目前是空殼，要從零寫</t>
        </is>
      </c>
    </row>
    <row r="11" ht="28" customHeight="1">
      <c r="A11" s="15" t="inlineStr">
        <is>
          <t>Project</t>
        </is>
      </c>
      <c r="B11" s="16" t="inlineStr">
        <is>
          <t>Result</t>
        </is>
      </c>
      <c r="C11" s="17" t="inlineStr">
        <is>
          <t>wiki/pages/results.html</t>
        </is>
      </c>
      <c r="D11" s="15" t="inlineStr">
        <is>
          <t>空白頁（未撰寫）</t>
        </is>
      </c>
      <c r="E11" s="15" t="inlineStr"/>
      <c r="F11" s="18" t="inlineStr">
        <is>
          <t>Chun</t>
        </is>
      </c>
      <c r="G11" s="15" t="inlineStr">
        <is>
          <t>未開始</t>
        </is>
      </c>
      <c r="H11" s="19" t="n"/>
      <c r="I11" s="20" t="inlineStr">
        <is>
          <t>目前是空殼，要從零寫</t>
        </is>
      </c>
    </row>
    <row r="12" ht="28" customHeight="1">
      <c r="A12" s="15" t="inlineStr">
        <is>
          <t>Wet</t>
        </is>
      </c>
      <c r="B12" s="16" t="inlineStr">
        <is>
          <t>Engineering</t>
        </is>
      </c>
      <c r="C12" s="17" t="inlineStr">
        <is>
          <t>wiki/pages/engineering.html</t>
        </is>
      </c>
      <c r="D12" s="15" t="inlineStr">
        <is>
          <t>已有內容（214 行）</t>
        </is>
      </c>
      <c r="E12" s="15" t="inlineStr"/>
      <c r="F12" s="18" t="inlineStr">
        <is>
          <t>Willy</t>
        </is>
      </c>
      <c r="G12" s="15" t="inlineStr">
        <is>
          <t>未開始</t>
        </is>
      </c>
      <c r="H12" s="19" t="n"/>
      <c r="I12" s="20" t="inlineStr"/>
    </row>
    <row r="13" ht="28" customHeight="1">
      <c r="A13" s="15" t="inlineStr">
        <is>
          <t>Wet</t>
        </is>
      </c>
      <c r="B13" s="16" t="inlineStr">
        <is>
          <t>Lab Book</t>
        </is>
      </c>
      <c r="C13" s="17" t="inlineStr">
        <is>
          <t>wiki/pages/lab-book.html</t>
        </is>
      </c>
      <c r="D13" s="15" t="inlineStr">
        <is>
          <t>已有內容（109 行）</t>
        </is>
      </c>
      <c r="E13" s="15" t="inlineStr"/>
      <c r="F13" s="18" t="inlineStr">
        <is>
          <t>Willy</t>
        </is>
      </c>
      <c r="G13" s="15" t="inlineStr">
        <is>
          <t>未開始</t>
        </is>
      </c>
      <c r="H13" s="19" t="n"/>
      <c r="I13" s="20" t="inlineStr"/>
    </row>
    <row r="14" ht="28" customHeight="1">
      <c r="A14" s="15" t="inlineStr">
        <is>
          <t>Wet</t>
        </is>
      </c>
      <c r="B14" s="16" t="inlineStr">
        <is>
          <t>Experiments</t>
        </is>
      </c>
      <c r="C14" s="17" t="inlineStr">
        <is>
          <t>wiki/pages/experiments.html</t>
        </is>
      </c>
      <c r="D14" s="15" t="inlineStr">
        <is>
          <t>空白頁（未撰寫）</t>
        </is>
      </c>
      <c r="E14" s="15" t="inlineStr"/>
      <c r="F14" s="18" t="inlineStr">
        <is>
          <t>Willy</t>
        </is>
      </c>
      <c r="G14" s="15" t="inlineStr">
        <is>
          <t>未開始</t>
        </is>
      </c>
      <c r="H14" s="19" t="n"/>
      <c r="I14" s="20" t="inlineStr">
        <is>
          <t>註解裡有一句暫存的舊副標題；目前是空殼，要從零寫</t>
        </is>
      </c>
    </row>
    <row r="15" ht="28" customHeight="1">
      <c r="A15" s="15" t="inlineStr">
        <is>
          <t>Wet</t>
        </is>
      </c>
      <c r="B15" s="16" t="inlineStr">
        <is>
          <t>Parts</t>
        </is>
      </c>
      <c r="C15" s="17" t="inlineStr">
        <is>
          <t>wiki/pages/parts.html</t>
        </is>
      </c>
      <c r="D15" s="15" t="inlineStr">
        <is>
          <t>空白頁（未撰寫）</t>
        </is>
      </c>
      <c r="E15" s="15" t="inlineStr"/>
      <c r="F15" s="18" t="inlineStr">
        <is>
          <t>Willy</t>
        </is>
      </c>
      <c r="G15" s="15" t="inlineStr">
        <is>
          <t>未開始</t>
        </is>
      </c>
      <c r="H15" s="19" t="n"/>
      <c r="I15" s="20" t="inlineStr">
        <is>
          <t>目前是空殼，要從零寫</t>
        </is>
      </c>
    </row>
    <row r="16" ht="28" customHeight="1">
      <c r="A16" s="15" t="inlineStr">
        <is>
          <t>Wet</t>
        </is>
      </c>
      <c r="B16" s="16" t="inlineStr">
        <is>
          <t>Safety and Security</t>
        </is>
      </c>
      <c r="C16" s="17" t="inlineStr">
        <is>
          <t>wiki/pages/safety-and-security.html</t>
        </is>
      </c>
      <c r="D16" s="15" t="inlineStr">
        <is>
          <t>空白頁（未撰寫）</t>
        </is>
      </c>
      <c r="E16" s="15" t="inlineStr"/>
      <c r="F16" s="18" t="inlineStr">
        <is>
          <t>Willy</t>
        </is>
      </c>
      <c r="G16" s="15" t="inlineStr">
        <is>
          <t>未開始</t>
        </is>
      </c>
      <c r="H16" s="19" t="n"/>
      <c r="I16" s="20" t="inlineStr">
        <is>
          <t>註解裡有一句暫存的舊副標題；目前是空殼，要從零寫</t>
        </is>
      </c>
    </row>
    <row r="17" ht="28" customHeight="1">
      <c r="A17" s="15" t="inlineStr">
        <is>
          <t>Dry</t>
        </is>
      </c>
      <c r="B17" s="16" t="inlineStr">
        <is>
          <t>Hardware</t>
        </is>
      </c>
      <c r="C17" s="17" t="inlineStr">
        <is>
          <t>wiki/pages/hardware.html</t>
        </is>
      </c>
      <c r="D17" s="15" t="inlineStr">
        <is>
          <t>已有內容（753 行）</t>
        </is>
      </c>
      <c r="E17" s="15" t="inlineStr">
        <is>
          <t>Ryan</t>
        </is>
      </c>
      <c r="F17" s="18" t="inlineStr">
        <is>
          <t>Ryan</t>
        </is>
      </c>
      <c r="G17" s="15" t="inlineStr">
        <is>
          <t>未開始</t>
        </is>
      </c>
      <c r="H17" s="19" t="n"/>
      <c r="I17" s="20" t="inlineStr">
        <is>
          <t>檔案內有給團隊的註記（30 行），動工前先讀</t>
        </is>
      </c>
    </row>
    <row r="18" ht="28" customHeight="1">
      <c r="A18" s="15" t="inlineStr">
        <is>
          <t>Dry</t>
        </is>
      </c>
      <c r="B18" s="16" t="inlineStr">
        <is>
          <t>Software</t>
        </is>
      </c>
      <c r="C18" s="17" t="inlineStr">
        <is>
          <t>wiki/pages/software.html</t>
        </is>
      </c>
      <c r="D18" s="15" t="inlineStr">
        <is>
          <t>已有內容（146 行）</t>
        </is>
      </c>
      <c r="E18" s="15" t="inlineStr"/>
      <c r="F18" s="18" t="inlineStr">
        <is>
          <t>Ryan</t>
        </is>
      </c>
      <c r="G18" s="15" t="inlineStr">
        <is>
          <t>未開始</t>
        </is>
      </c>
      <c r="H18" s="19" t="n"/>
      <c r="I18" s="20" t="inlineStr"/>
    </row>
    <row r="19" ht="28" customHeight="1">
      <c r="A19" s="15" t="inlineStr">
        <is>
          <t>Dry</t>
        </is>
      </c>
      <c r="B19" s="16" t="inlineStr">
        <is>
          <t>Modeling</t>
        </is>
      </c>
      <c r="C19" s="17" t="inlineStr">
        <is>
          <t>wiki/pages/model.html</t>
        </is>
      </c>
      <c r="D19" s="15" t="inlineStr">
        <is>
          <t>空白頁（未撰寫）</t>
        </is>
      </c>
      <c r="E19" s="15" t="inlineStr"/>
      <c r="F19" s="18" t="inlineStr">
        <is>
          <t>Ryan</t>
        </is>
      </c>
      <c r="G19" s="15" t="inlineStr">
        <is>
          <t>未開始</t>
        </is>
      </c>
      <c r="H19" s="19" t="n"/>
      <c r="I19" s="20" t="inlineStr">
        <is>
          <t>目前是空殼，要從零寫</t>
        </is>
      </c>
    </row>
    <row r="20" ht="28" customHeight="1">
      <c r="A20" s="15" t="inlineStr">
        <is>
          <t>HP</t>
        </is>
      </c>
      <c r="B20" s="16" t="inlineStr">
        <is>
          <t>Education</t>
        </is>
      </c>
      <c r="C20" s="17" t="inlineStr">
        <is>
          <t>wiki/pages/education.html</t>
        </is>
      </c>
      <c r="D20" s="15" t="inlineStr">
        <is>
          <t>已有內容（347 行）</t>
        </is>
      </c>
      <c r="E20" s="15" t="inlineStr">
        <is>
          <t>Mella、Annie</t>
        </is>
      </c>
      <c r="F20" s="18" t="inlineStr">
        <is>
          <t>Annie</t>
        </is>
      </c>
      <c r="G20" s="15" t="inlineStr">
        <is>
          <t>未開始</t>
        </is>
      </c>
      <c r="H20" s="19" t="n"/>
      <c r="I20" s="20" t="inlineStr"/>
    </row>
    <row r="21" ht="28" customHeight="1">
      <c r="A21" s="15" t="inlineStr">
        <is>
          <t>HP</t>
        </is>
      </c>
      <c r="B21" s="16" t="inlineStr">
        <is>
          <t>Promotion</t>
        </is>
      </c>
      <c r="C21" s="17" t="inlineStr">
        <is>
          <t>wiki/pages/promotion.html</t>
        </is>
      </c>
      <c r="D21" s="15" t="inlineStr">
        <is>
          <t>已有內容（93 行）</t>
        </is>
      </c>
      <c r="E21" s="15" t="inlineStr">
        <is>
          <t>Annie、Mella</t>
        </is>
      </c>
      <c r="F21" s="18" t="inlineStr">
        <is>
          <t>Annie</t>
        </is>
      </c>
      <c r="G21" s="15" t="inlineStr">
        <is>
          <t>未開始</t>
        </is>
      </c>
      <c r="H21" s="19" t="n"/>
      <c r="I21" s="20" t="inlineStr"/>
    </row>
    <row r="22" ht="28" customHeight="1">
      <c r="A22" s="15" t="inlineStr">
        <is>
          <t>HP</t>
        </is>
      </c>
      <c r="B22" s="16" t="inlineStr">
        <is>
          <t>Collaboration</t>
        </is>
      </c>
      <c r="C22" s="17" t="inlineStr">
        <is>
          <t>wiki/pages/collaboration.html</t>
        </is>
      </c>
      <c r="D22" s="15" t="inlineStr">
        <is>
          <t>已有內容（72 行）</t>
        </is>
      </c>
      <c r="E22" s="15" t="inlineStr">
        <is>
          <t>Mella、Annie、Cindy-iGEM</t>
        </is>
      </c>
      <c r="F22" s="18" t="inlineStr">
        <is>
          <t>Annie</t>
        </is>
      </c>
      <c r="G22" s="15" t="inlineStr">
        <is>
          <t>未開始</t>
        </is>
      </c>
      <c r="H22" s="19" t="n"/>
      <c r="I22" s="20" t="inlineStr"/>
    </row>
    <row r="23" ht="28" customHeight="1">
      <c r="A23" s="15" t="inlineStr">
        <is>
          <t>HP</t>
        </is>
      </c>
      <c r="B23" s="16" t="inlineStr">
        <is>
          <t>Board Game</t>
        </is>
      </c>
      <c r="C23" s="17" t="inlineStr">
        <is>
          <t>wiki/pages/board-game.html</t>
        </is>
      </c>
      <c r="D23" s="15" t="inlineStr">
        <is>
          <t>已有內容（193 行）</t>
        </is>
      </c>
      <c r="E23" s="15" t="inlineStr"/>
      <c r="F23" s="18" t="inlineStr">
        <is>
          <t>Jason</t>
        </is>
      </c>
      <c r="G23" s="15" t="inlineStr">
        <is>
          <t>未開始</t>
        </is>
      </c>
      <c r="H23" s="19" t="n"/>
      <c r="I23" s="20" t="inlineStr"/>
    </row>
    <row r="24" ht="28" customHeight="1">
      <c r="A24" s="15" t="inlineStr">
        <is>
          <t>HP</t>
        </is>
      </c>
      <c r="B24" s="16" t="inlineStr">
        <is>
          <t>Communication</t>
        </is>
      </c>
      <c r="C24" s="17" t="inlineStr">
        <is>
          <t>wiki/pages/communication.html</t>
        </is>
      </c>
      <c r="D24" s="15" t="inlineStr">
        <is>
          <t>空白頁（未撰寫）</t>
        </is>
      </c>
      <c r="E24" s="15" t="inlineStr"/>
      <c r="F24" s="18" t="inlineStr">
        <is>
          <t>Annie</t>
        </is>
      </c>
      <c r="G24" s="15" t="inlineStr">
        <is>
          <t>未開始</t>
        </is>
      </c>
      <c r="H24" s="19" t="n"/>
      <c r="I24" s="20" t="inlineStr">
        <is>
          <t>目前是空殼，要從零寫</t>
        </is>
      </c>
    </row>
    <row r="25" ht="28" customHeight="1">
      <c r="A25" s="15" t="inlineStr">
        <is>
          <t>HP</t>
        </is>
      </c>
      <c r="B25" s="16" t="inlineStr">
        <is>
          <t>Human Practices</t>
        </is>
      </c>
      <c r="C25" s="17" t="inlineStr">
        <is>
          <t>wiki/pages/human-practices.html</t>
        </is>
      </c>
      <c r="D25" s="15" t="inlineStr">
        <is>
          <t>空白頁（未撰寫）</t>
        </is>
      </c>
      <c r="E25" s="15" t="inlineStr"/>
      <c r="F25" s="18" t="inlineStr">
        <is>
          <t>Jason</t>
        </is>
      </c>
      <c r="G25" s="15" t="inlineStr">
        <is>
          <t>未開始</t>
        </is>
      </c>
      <c r="H25" s="19" t="n"/>
      <c r="I25" s="20" t="inlineStr">
        <is>
          <t>註解裡有一句暫存的舊副標題；目前是空殼，要從零寫</t>
        </is>
      </c>
    </row>
    <row r="26" ht="28" customHeight="1">
      <c r="A26" s="15" t="inlineStr">
        <is>
          <t>Team</t>
        </is>
      </c>
      <c r="B26" s="16" t="inlineStr">
        <is>
          <t>Team</t>
        </is>
      </c>
      <c r="C26" s="17" t="inlineStr">
        <is>
          <t>wiki/pages/team.html</t>
        </is>
      </c>
      <c r="D26" s="15" t="inlineStr">
        <is>
          <t>已有內容（335 行）</t>
        </is>
      </c>
      <c r="E26" s="15" t="inlineStr">
        <is>
          <t>Mella</t>
        </is>
      </c>
      <c r="F26" s="18" t="inlineStr">
        <is>
          <t>Jason</t>
        </is>
      </c>
      <c r="G26" s="15" t="inlineStr">
        <is>
          <t>未開始</t>
        </is>
      </c>
      <c r="H26" s="19" t="n"/>
      <c r="I26" s="20" t="inlineStr"/>
    </row>
    <row r="27" ht="28" customHeight="1">
      <c r="A27" s="15" t="inlineStr">
        <is>
          <t>Team</t>
        </is>
      </c>
      <c r="B27" s="16" t="inlineStr">
        <is>
          <t>Attributions</t>
        </is>
      </c>
      <c r="C27" s="17" t="inlineStr">
        <is>
          <t>wiki/pages/attributions.html</t>
        </is>
      </c>
      <c r="D27" s="15" t="inlineStr">
        <is>
          <t>已有內容（66 行）</t>
        </is>
      </c>
      <c r="E27" s="15" t="inlineStr"/>
      <c r="F27" s="18" t="inlineStr">
        <is>
          <t>Jason</t>
        </is>
      </c>
      <c r="G27" s="15" t="inlineStr">
        <is>
          <t>未開始</t>
        </is>
      </c>
      <c r="H27" s="19" t="n"/>
      <c r="I27" s="20" t="inlineStr">
        <is>
          <t>檔案內有給團隊的註記（8 行），動工前先讀</t>
        </is>
      </c>
    </row>
    <row r="28" ht="28" customHeight="1">
      <c r="A28" s="15" t="inlineStr">
        <is>
          <t>未在選單</t>
        </is>
      </c>
      <c r="B28" s="16" t="inlineStr">
        <is>
          <t>Alternative Platform</t>
        </is>
      </c>
      <c r="C28" s="17" t="inlineStr">
        <is>
          <t>wiki/pages/alternative-platform.html</t>
        </is>
      </c>
      <c r="D28" s="15" t="inlineStr">
        <is>
          <t>空白頁（未撰寫）</t>
        </is>
      </c>
      <c r="E28" s="15" t="inlineStr"/>
      <c r="F28" s="18" t="n"/>
      <c r="G28" s="15" t="inlineStr">
        <is>
          <t>未開始</t>
        </is>
      </c>
      <c r="H28" s="19" t="n"/>
      <c r="I28" s="20" t="inlineStr">
        <is>
          <t>不在選單中，需先決定要寫還是刪；註解裡有一句暫存的舊副標題；目前是空殼，要從零寫</t>
        </is>
      </c>
    </row>
    <row r="29" ht="28" customHeight="1">
      <c r="A29" s="15" t="inlineStr">
        <is>
          <t>未在選單</t>
        </is>
      </c>
      <c r="B29" s="16" t="inlineStr">
        <is>
          <t>Entrepreneurship</t>
        </is>
      </c>
      <c r="C29" s="17" t="inlineStr">
        <is>
          <t>wiki/pages/entrepreneurship.html</t>
        </is>
      </c>
      <c r="D29" s="15" t="inlineStr">
        <is>
          <t>空白頁（未撰寫）</t>
        </is>
      </c>
      <c r="E29" s="15" t="inlineStr"/>
      <c r="F29" s="18" t="n"/>
      <c r="G29" s="15" t="inlineStr">
        <is>
          <t>未開始</t>
        </is>
      </c>
      <c r="H29" s="19" t="n"/>
      <c r="I29" s="20" t="inlineStr">
        <is>
          <t>不在選單中，需先決定要寫還是刪；註解裡有一句暫存的舊副標題；目前是空殼，要從零寫</t>
        </is>
      </c>
    </row>
    <row r="30" ht="28" customHeight="1">
      <c r="A30" s="15" t="inlineStr">
        <is>
          <t>未在選單</t>
        </is>
      </c>
      <c r="B30" s="16" t="inlineStr">
        <is>
          <t>Inclusivity</t>
        </is>
      </c>
      <c r="C30" s="17" t="inlineStr">
        <is>
          <t>wiki/pages/inclusivity.html</t>
        </is>
      </c>
      <c r="D30" s="15" t="inlineStr">
        <is>
          <t>空白頁（未撰寫）</t>
        </is>
      </c>
      <c r="E30" s="15" t="inlineStr"/>
      <c r="F30" s="18" t="n"/>
      <c r="G30" s="15" t="inlineStr">
        <is>
          <t>未開始</t>
        </is>
      </c>
      <c r="H30" s="19" t="n"/>
      <c r="I30" s="20" t="inlineStr">
        <is>
          <t>不在選單中，需先決定要寫還是刪；註解裡有一句暫存的舊副標題；目前是空殼，要從零寫</t>
        </is>
      </c>
    </row>
    <row r="31" ht="28" customHeight="1">
      <c r="A31" s="15" t="inlineStr">
        <is>
          <t>未在選單</t>
        </is>
      </c>
      <c r="B31" s="16" t="inlineStr">
        <is>
          <t>Sustainability</t>
        </is>
      </c>
      <c r="C31" s="17" t="inlineStr">
        <is>
          <t>wiki/pages/sustainability.html</t>
        </is>
      </c>
      <c r="D31" s="15" t="inlineStr">
        <is>
          <t>空白頁（未撰寫）</t>
        </is>
      </c>
      <c r="E31" s="15" t="inlineStr"/>
      <c r="F31" s="18" t="n"/>
      <c r="G31" s="15" t="inlineStr">
        <is>
          <t>未開始</t>
        </is>
      </c>
      <c r="H31" s="19" t="n"/>
      <c r="I31" s="20" t="inlineStr">
        <is>
          <t>不在選單中，需先決定要寫還是刪；註解裡有一句暫存的舊副標題；目前是空殼，要從零寫</t>
        </is>
      </c>
    </row>
  </sheetData>
  <autoFilter ref="A4:I31"/>
  <conditionalFormatting sqref="G5:G31">
    <cfRule type="cellIs" priority="1" operator="equal" dxfId="0">
      <formula>"已完成"</formula>
    </cfRule>
    <cfRule type="cellIs" priority="2" operator="equal" dxfId="1">
      <formula>"待審查"</formula>
    </cfRule>
    <cfRule type="cellIs" priority="3" operator="equal" dxfId="2">
      <formula>"進行中"</formula>
    </cfRule>
    <cfRule type="cellIs" priority="4" operator="equal" dxfId="3">
      <formula>"未開始"</formula>
    </cfRule>
  </conditionalFormatting>
  <conditionalFormatting sqref="H5:H31">
    <cfRule type="expression" priority="5" dxfId="4">
      <formula>AND($H5&lt;&gt;"",$H5&lt;TODAY(),$G5&lt;&gt;"已完成")</formula>
    </cfRule>
  </conditionalFormatting>
  <conditionalFormatting sqref="F5:F31">
    <cfRule type="expression" priority="6" dxfId="1">
      <formula>$F5=""</formula>
    </cfRule>
  </conditionalFormatting>
  <dataValidations count="2">
    <dataValidation sqref="F5:F31" showDropDown="0" showInputMessage="0" showErrorMessage="0" allowBlank="1" errorTitle="不在成員名單中" error="請先到「成員」分頁把名字加進去。" type="list">
      <formula1>=Members</formula1>
    </dataValidation>
    <dataValidation sqref="G5:G31" showDropDown="0" showInputMessage="0" showErrorMessage="0" allowBlank="0" type="list">
      <formula1>"未開始,進行中,待審查,已完成"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1" t="inlineStr">
        <is>
          <t>成員名單</t>
        </is>
      </c>
    </row>
    <row r="2">
      <c r="A2" s="2" t="inlineStr">
        <is>
          <t>這裡的名字就是「頁面進度」負責人欄位的下拉選項。要加人直接往下填。</t>
        </is>
      </c>
    </row>
    <row r="4" ht="30" customHeight="1">
      <c r="A4" s="3" t="inlineStr">
        <is>
          <t>姓名</t>
        </is>
      </c>
      <c r="B4" s="3" t="inlineStr">
        <is>
          <t>主要負責範圍</t>
        </is>
      </c>
    </row>
    <row r="5">
      <c r="A5" s="21" t="inlineStr">
        <is>
          <t>Willy</t>
        </is>
      </c>
      <c r="B5" s="22" t="inlineStr">
        <is>
          <t>Wet：Engineering、Lab Book、Experiments、Parts、Safety</t>
        </is>
      </c>
    </row>
    <row r="6">
      <c r="A6" s="21" t="inlineStr">
        <is>
          <t>Chun</t>
        </is>
      </c>
      <c r="B6" s="22" t="inlineStr">
        <is>
          <t>Project 主幹：Description、Measurement、Result</t>
        </is>
      </c>
    </row>
    <row r="7">
      <c r="A7" s="21" t="inlineStr">
        <is>
          <t>Ryan</t>
        </is>
      </c>
      <c r="B7" s="22" t="inlineStr">
        <is>
          <t>Dry：Hardware、Software、Modeling</t>
        </is>
      </c>
    </row>
    <row r="8">
      <c r="A8" s="21" t="inlineStr">
        <is>
          <t>Mella</t>
        </is>
      </c>
      <c r="B8" s="22" t="inlineStr">
        <is>
          <t>Project 其他：Home、Notebook、Online Game、Contribution</t>
        </is>
      </c>
    </row>
    <row r="9">
      <c r="A9" s="21" t="inlineStr">
        <is>
          <t>Annie</t>
        </is>
      </c>
      <c r="B9" s="22" t="inlineStr">
        <is>
          <t>HP：Education、Promotion、Collaboration、Communication</t>
        </is>
      </c>
    </row>
    <row r="10">
      <c r="A10" s="21" t="inlineStr">
        <is>
          <t>Jason</t>
        </is>
      </c>
      <c r="B10" s="22" t="inlineStr">
        <is>
          <t>Team + HP：Team、Attributions、Board Game、Human Practices</t>
        </is>
      </c>
    </row>
    <row r="11">
      <c r="A11" s="23" t="n"/>
      <c r="B11" s="22" t="n"/>
    </row>
    <row r="12">
      <c r="A12" s="23" t="n"/>
      <c r="B12" s="22" t="n"/>
    </row>
    <row r="13">
      <c r="A13" s="23" t="n"/>
      <c r="B13" s="22" t="n"/>
    </row>
    <row r="14">
      <c r="A14" s="23" t="n"/>
      <c r="B14" s="22" t="n"/>
    </row>
    <row r="15">
      <c r="A15" s="23" t="n"/>
      <c r="B15" s="22" t="n"/>
    </row>
    <row r="16">
      <c r="A16" s="23" t="n"/>
      <c r="B16" s="22" t="n"/>
    </row>
    <row r="17">
      <c r="A17" s="23" t="n"/>
      <c r="B17" s="22" t="n"/>
    </row>
    <row r="18">
      <c r="A18" s="23" t="n"/>
      <c r="B18" s="22" t="n"/>
    </row>
    <row r="19">
      <c r="A19" s="23" t="n"/>
      <c r="B19" s="22" t="n"/>
    </row>
    <row r="20">
      <c r="A20" s="23" t="n"/>
      <c r="B20" s="22" t="n"/>
    </row>
    <row r="21">
      <c r="A21" s="23" t="n"/>
      <c r="B21" s="22" t="n"/>
    </row>
    <row r="22">
      <c r="A22" s="23" t="n"/>
      <c r="B22" s="22" t="n"/>
    </row>
    <row r="23">
      <c r="A23" s="23" t="n"/>
      <c r="B23" s="22" t="n"/>
    </row>
    <row r="24">
      <c r="A24" s="23" t="n"/>
      <c r="B24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2026-09-09T12:58:01Z</dcterms:created>
  <dcterms:modified xsi:type="dcterms:W3CDTF">2026-09-09T12:58:01Z</dcterms:modified>
</cp:coreProperties>
</file>